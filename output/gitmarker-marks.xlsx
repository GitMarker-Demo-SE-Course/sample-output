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w Summary" sheetId="2" state="visible" r:id="rId4"/>
    <sheet name="Violations" sheetId="3" state="visible" r:id="rId5"/>
    <sheet name="Pull Requests" sheetId="4" state="visible" r:id="rId6"/>
    <sheet name="Rubric Settings" sheetId="5" state="visible" r:id="rId7"/>
    <sheet name="Marks" sheetId="6" state="visible" r:id="rId8"/>
  </sheets>
  <definedNames>
    <definedName function="false" hidden="true" localSheetId="5" name="_xlnm._FilterDatabase" vbProcedure="false">Marks!$A$2:$S$2</definedName>
    <definedName function="false" hidden="true" localSheetId="3" name="_xlnm._FilterDatabase" vbProcedure="false">'Pull Requests'!$A$1:$L$1</definedName>
    <definedName function="false" hidden="true" localSheetId="1" name="_xlnm._FilterDatabase" vbProcedure="false">'Raw Summary'!$A$1:$AH$1</definedName>
    <definedName function="false" hidden="true" localSheetId="2" name="_xlnm._FilterDatabase" vbProcedure="false">Violations!$A$1:$I$1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<sst xmlns="http://schemas.openxmlformats.org/spreadsheetml/2006/main" count="325" uniqueCount="186">
  <si>
    <t xml:space="preserve">GitMarker Assessment</t>
  </si>
  <si>
    <t xml:space="preserve">Purpose</t>
  </si>
  <si>
    <t xml:space="preserve">Git usage and teamwork checks for teaching.</t>
  </si>
  <si>
    <t xml:space="preserve">Organization</t>
  </si>
  <si>
    <t xml:space="preserve">GitMarker-Demo-SE-Course</t>
  </si>
  <si>
    <t xml:space="preserve">Assignment type</t>
  </si>
  <si>
    <t xml:space="preserve">team</t>
  </si>
  <si>
    <t xml:space="preserve">Inclusive window</t>
  </si>
  <si>
    <t xml:space="preserve">2026-10-20T12:26:44Z — 2026-10-21T21:15:18Z</t>
  </si>
  <si>
    <t xml:space="preserve">Timezone</t>
  </si>
  <si>
    <t xml:space="preserve">Etc/UTC</t>
  </si>
  <si>
    <t xml:space="preserve">Tool version</t>
  </si>
  <si>
    <t xml:space="preserve">0.1.0</t>
  </si>
  <si>
    <t xml:space="preserve">Run status</t>
  </si>
  <si>
    <t xml:space="preserve">complete</t>
  </si>
  <si>
    <t xml:space="preserve">How to use</t>
  </si>
  <si>
    <t xml:space="preserve">Edit the yellow cells in Rubric Settings. The marks update without scanning GitHub again.</t>
  </si>
  <si>
    <t xml:space="preserve">Unavailable checks</t>
  </si>
  <si>
    <t xml:space="preserve">Incomplete observations are blank and excluded from scoring. Review warnings before releasing marks.</t>
  </si>
  <si>
    <t xml:space="preserve">Minimums</t>
  </si>
  <si>
    <t xml:space="preserve">Minimum commits and merged pull requests are worked out here from the repository metrics. Change the threshold in Rubric Settings.</t>
  </si>
  <si>
    <t xml:space="preserve">Interpretation</t>
  </si>
  <si>
    <t xml:space="preserve">Flags are observable indicators, not proof of misconduct. Review linked evidence.</t>
  </si>
  <si>
    <t xml:space="preserve">Pull Requests</t>
  </si>
  <si>
    <t xml:space="preserve">How long each merged pull request was open. For information only: it is not marked. A quick merge is a reason to read the review, not a violation.</t>
  </si>
  <si>
    <t xml:space="preserve">Privacy</t>
  </si>
  <si>
    <t xml:space="preserve">This workbook may contain student identifiers and private-repository URLs. Store and share it securely.</t>
  </si>
  <si>
    <t xml:space="preserve">Repository</t>
  </si>
  <si>
    <t xml:space="preserve">Repository URL</t>
  </si>
  <si>
    <t xml:space="preserve">Student ID</t>
  </si>
  <si>
    <t xml:space="preserve">Team ID</t>
  </si>
  <si>
    <t xml:space="preserve">Student actors</t>
  </si>
  <si>
    <t xml:space="preserve">Default branch</t>
  </si>
  <si>
    <t xml:space="preserve">Developer commits</t>
  </si>
  <si>
    <t xml:space="preserve">Total commits</t>
  </si>
  <si>
    <t xml:space="preserve">Pushes</t>
  </si>
  <si>
    <t xml:space="preserve">Branches</t>
  </si>
  <si>
    <t xml:space="preserve">Pull requests</t>
  </si>
  <si>
    <t xml:space="preserve">Merged pull requests</t>
  </si>
  <si>
    <t xml:space="preserve">Scan complete</t>
  </si>
  <si>
    <t xml:space="preserve">Errors</t>
  </si>
  <si>
    <t xml:space="preserve">minimum_commits complete</t>
  </si>
  <si>
    <t xml:space="preserve">short_commit_messages count</t>
  </si>
  <si>
    <t xml:space="preserve">short_commit_messages complete</t>
  </si>
  <si>
    <t xml:space="preserve">empty_commits count</t>
  </si>
  <si>
    <t xml:space="preserve">empty_commits complete</t>
  </si>
  <si>
    <t xml:space="preserve">commit_time_before_push count</t>
  </si>
  <si>
    <t xml:space="preserve">commit_time_before_push complete</t>
  </si>
  <si>
    <t xml:space="preserve">force_pushes count</t>
  </si>
  <si>
    <t xml:space="preserve">force_pushes complete</t>
  </si>
  <si>
    <t xml:space="preserve">lost_commits count</t>
  </si>
  <si>
    <t xml:space="preserve">lost_commits complete</t>
  </si>
  <si>
    <t xml:space="preserve">minimum_pull_requests complete</t>
  </si>
  <si>
    <t xml:space="preserve">stale_branches count</t>
  </si>
  <si>
    <t xml:space="preserve">stale_branches complete</t>
  </si>
  <si>
    <t xml:space="preserve">pushes_to_default_branch count</t>
  </si>
  <si>
    <t xml:space="preserve">pushes_to_default_branch complete</t>
  </si>
  <si>
    <t xml:space="preserve">pr_merged_by_author count</t>
  </si>
  <si>
    <t xml:space="preserve">pr_merged_by_author complete</t>
  </si>
  <si>
    <t xml:space="preserve">pr_without_teammate_feedback count</t>
  </si>
  <si>
    <t xml:space="preserve">pr_without_teammate_feedback complete</t>
  </si>
  <si>
    <t xml:space="preserve">library-app-team-01</t>
  </si>
  <si>
    <t xml:space="preserve">https://github.com/GitMarker-Demo-SE-Course/library-app-team-01</t>
  </si>
  <si>
    <t xml:space="preserve">S1002;S1001</t>
  </si>
  <si>
    <t xml:space="preserve">team-01</t>
  </si>
  <si>
    <t xml:space="preserve">gmdemo-anon-student-2;gmdemo-anon-student-1</t>
  </si>
  <si>
    <t xml:space="preserve">main</t>
  </si>
  <si>
    <t xml:space="preserve">Check ID</t>
  </si>
  <si>
    <t xml:space="preserve">Actor</t>
  </si>
  <si>
    <t xml:space="preserve">Timestamp</t>
  </si>
  <si>
    <t xml:space="preserve">Count</t>
  </si>
  <si>
    <t xml:space="preserve">Evidence URL</t>
  </si>
  <si>
    <t xml:space="preserve">Description</t>
  </si>
  <si>
    <t xml:space="preserve">S1001</t>
  </si>
  <si>
    <t xml:space="preserve">short_commit_messages</t>
  </si>
  <si>
    <t xml:space="preserve">gmdemo-anon-student-1</t>
  </si>
  <si>
    <t xml:space="preserve">2026-10-21T19:05:59Z</t>
  </si>
  <si>
    <t xml:space="preserve">Open evidence</t>
  </si>
  <si>
    <t xml:space="preserve">Commit message has 2 words: "Fix typo"</t>
  </si>
  <si>
    <t xml:space="preserve">S1002</t>
  </si>
  <si>
    <t xml:space="preserve">gmdemo-anon-student-2</t>
  </si>
  <si>
    <t xml:space="preserve">2026-10-20T13:33:22Z</t>
  </si>
  <si>
    <t xml:space="preserve">Commit message has 1 word: "loans"</t>
  </si>
  <si>
    <t xml:space="preserve">empty_commits</t>
  </si>
  <si>
    <t xml:space="preserve">2026-10-20T21:01:40Z</t>
  </si>
  <si>
    <t xml:space="preserve">Commit changes no files</t>
  </si>
  <si>
    <t xml:space="preserve">commit_time_before_push</t>
  </si>
  <si>
    <t xml:space="preserve">2026-10-21T09:15:21Z</t>
  </si>
  <si>
    <t xml:space="preserve">Commit time Wed 21 Oct 2026, 09:15 is before its author's previous push to feature/storage on Wed 21 Oct 2026, 11:15. The commit was first pushed on Wed 21 Oct 2026, 13:20</t>
  </si>
  <si>
    <t xml:space="preserve">force_pushes</t>
  </si>
  <si>
    <t xml:space="preserve">2026-10-20T19:28:25Z</t>
  </si>
  <si>
    <t xml:space="preserve">Force push to feature/overdue</t>
  </si>
  <si>
    <t xml:space="preserve">lost_commits</t>
  </si>
  <si>
    <t xml:space="preserve">Commit 0c5393c on feature/overdue was replaced by a force push</t>
  </si>
  <si>
    <t xml:space="preserve">stale_branches</t>
  </si>
  <si>
    <t xml:space="preserve">2026-10-20T16:23:28Z</t>
  </si>
  <si>
    <t xml:space="preserve">Branch had no commit in the 1 day before the end of this period</t>
  </si>
  <si>
    <t xml:space="preserve">pushes_to_default_branch</t>
  </si>
  <si>
    <t xml:space="preserve">2026-10-21T19:06:03Z</t>
  </si>
  <si>
    <t xml:space="preserve">Push to default branch main</t>
  </si>
  <si>
    <t xml:space="preserve">2026-10-20T21:01:42Z</t>
  </si>
  <si>
    <t xml:space="preserve">2026-10-20T13:33:24Z</t>
  </si>
  <si>
    <t xml:space="preserve">pr_merged_by_author</t>
  </si>
  <si>
    <t xml:space="preserve">2026-10-20T20:03:40Z</t>
  </si>
  <si>
    <t xml:space="preserve">PR #2 was merged by its author</t>
  </si>
  <si>
    <t xml:space="preserve">2026-10-21T21:10:16Z</t>
  </si>
  <si>
    <t xml:space="preserve">PR #6 was merged by its author</t>
  </si>
  <si>
    <t xml:space="preserve">pr_without_teammate_feedback</t>
  </si>
  <si>
    <t xml:space="preserve">Merged PR #2 has no written comment or review from a teammate before the merge</t>
  </si>
  <si>
    <t xml:space="preserve">2026-10-20T22:33:40Z</t>
  </si>
  <si>
    <t xml:space="preserve">Merged PR #3 has no written comment or review from a teammate before the merge (the first comment or review from a teammate came after the merge, 23 hours 7 minutes later)</t>
  </si>
  <si>
    <t xml:space="preserve">Pull request</t>
  </si>
  <si>
    <t xml:space="preserve">Author</t>
  </si>
  <si>
    <t xml:space="preserve">Merged by</t>
  </si>
  <si>
    <t xml:space="preserve">Opened (Etc/UTC)</t>
  </si>
  <si>
    <t xml:space="preserve">Merged (Etc/UTC)</t>
  </si>
  <si>
    <t xml:space="preserve">Minutes open</t>
  </si>
  <si>
    <t xml:space="preserve">Time open</t>
  </si>
  <si>
    <t xml:space="preserve">Teammate feedback</t>
  </si>
  <si>
    <t xml:space="preserve">Link</t>
  </si>
  <si>
    <t xml:space="preserve">#1</t>
  </si>
  <si>
    <t xml:space="preserve">2026-10-20 13:09</t>
  </si>
  <si>
    <t xml:space="preserve">2026-10-20 16:05</t>
  </si>
  <si>
    <t xml:space="preserve">2 hours 56 minutes</t>
  </si>
  <si>
    <t xml:space="preserve">Yes</t>
  </si>
  <si>
    <t xml:space="preserve">Open pull request</t>
  </si>
  <si>
    <t xml:space="preserve">#2</t>
  </si>
  <si>
    <t xml:space="preserve">2026-10-20 19:47</t>
  </si>
  <si>
    <t xml:space="preserve">2026-10-20 20:03</t>
  </si>
  <si>
    <t xml:space="preserve">16 minutes</t>
  </si>
  <si>
    <t xml:space="preserve">No</t>
  </si>
  <si>
    <t xml:space="preserve">#3</t>
  </si>
  <si>
    <t xml:space="preserve">2026-10-20 21:34</t>
  </si>
  <si>
    <t xml:space="preserve">2026-10-20 22:33</t>
  </si>
  <si>
    <t xml:space="preserve">59 minutes</t>
  </si>
  <si>
    <t xml:space="preserve">Only after merge</t>
  </si>
  <si>
    <t xml:space="preserve">#4</t>
  </si>
  <si>
    <t xml:space="preserve">2026-10-21 13:58</t>
  </si>
  <si>
    <t xml:space="preserve">2026-10-21 16:07</t>
  </si>
  <si>
    <t xml:space="preserve">2 hours 9 minutes</t>
  </si>
  <si>
    <t xml:space="preserve">#5</t>
  </si>
  <si>
    <t xml:space="preserve">2026-10-21 16:40</t>
  </si>
  <si>
    <t xml:space="preserve">2026-10-21 18:44</t>
  </si>
  <si>
    <t xml:space="preserve">2 hours 4 minutes</t>
  </si>
  <si>
    <t xml:space="preserve">#6</t>
  </si>
  <si>
    <t xml:space="preserve">2026-10-21 19:41</t>
  </si>
  <si>
    <t xml:space="preserve">2026-10-21 21:10</t>
  </si>
  <si>
    <t xml:space="preserve">1 hour 29 minutes</t>
  </si>
  <si>
    <t xml:space="preserve">Editable Rubric Settings</t>
  </si>
  <si>
    <t xml:space="preserve">Change the yellow cells and the marks update, without scanning GitHub again.</t>
  </si>
  <si>
    <t xml:space="preserve">Total marks</t>
  </si>
  <si>
    <t xml:space="preserve">Overall penalty cap</t>
  </si>
  <si>
    <t xml:space="preserve">Label</t>
  </si>
  <si>
    <t xml:space="preserve">Enabled</t>
  </si>
  <si>
    <t xml:space="preserve">Scored</t>
  </si>
  <si>
    <t xml:space="preserve">Threshold</t>
  </si>
  <si>
    <t xml:space="preserve">Leniency %</t>
  </si>
  <si>
    <t xml:space="preserve">Leniency count</t>
  </si>
  <si>
    <t xml:space="preserve">Penalty each</t>
  </si>
  <si>
    <t xml:space="preserve">Per-check cap</t>
  </si>
  <si>
    <t xml:space="preserve">Notes</t>
  </si>
  <si>
    <t xml:space="preserve">minimum_commits</t>
  </si>
  <si>
    <t xml:space="preserve">Minimum developer commits</t>
  </si>
  <si>
    <t xml:space="preserve">Threshold is the minimum expected. Marks update when you change it.</t>
  </si>
  <si>
    <t xml:space="preserve">Short commit messages</t>
  </si>
  <si>
    <t xml:space="preserve">Threshold (words) is set in the settings file and needs a new scan.</t>
  </si>
  <si>
    <t xml:space="preserve">Empty commits</t>
  </si>
  <si>
    <t xml:space="preserve">Commit time before previous push</t>
  </si>
  <si>
    <t xml:space="preserve">Threshold (minutes of tolerance) is set in the settings file and needs a new scan.</t>
  </si>
  <si>
    <t xml:space="preserve">Force pushes</t>
  </si>
  <si>
    <t xml:space="preserve">Commits replaced by a force push</t>
  </si>
  <si>
    <t xml:space="preserve">minimum_pull_requests</t>
  </si>
  <si>
    <t xml:space="preserve">Minimum merged pull requests</t>
  </si>
  <si>
    <t xml:space="preserve">Stale branches</t>
  </si>
  <si>
    <t xml:space="preserve">Threshold (days) is set in the settings file and needs a new scan.</t>
  </si>
  <si>
    <t xml:space="preserve">Pushes to the default branch</t>
  </si>
  <si>
    <t xml:space="preserve">Pull requests merged by their author</t>
  </si>
  <si>
    <t xml:space="preserve">Merged pull requests without teammate feedback</t>
  </si>
  <si>
    <t xml:space="preserve">GitMarker Marks</t>
  </si>
  <si>
    <t xml:space="preserve">Complete</t>
  </si>
  <si>
    <t xml:space="preserve">Warning</t>
  </si>
  <si>
    <t xml:space="preserve">Commits below minimum</t>
  </si>
  <si>
    <t xml:space="preserve">Merged pull requests below minimum</t>
  </si>
  <si>
    <t xml:space="preserve">Raw penalties</t>
  </si>
  <si>
    <t xml:space="preserve">Capped penalties</t>
  </si>
  <si>
    <t xml:space="preserve">Mark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</si>
</sst>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ptos"/>
      <family val="0"/>
      <charset val="1"/>
    </font>
    <font>
      <b val="true"/>
      <sz val="16"/>
      <color rgb="FFFFFFFF"/>
      <name val="Aptos Display"/>
      <family val="0"/>
      <charset val="1"/>
    </font>
    <font>
      <sz val="11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1"/>
      <color rgb="FF0000FF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6B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GitMarker-Demo-SE-Course/library-app-team-01/commit/ca0d372d27834da499e90243187cbd05d609a866" TargetMode="External"/><Relationship Id="rId2" Type="http://schemas.openxmlformats.org/officeDocument/2006/relationships/hyperlink" Target="https://github.com/GitMarker-Demo-SE-Course/library-app-team-01/commit/25b4d35156f0b50a8dd9cfc32492419b7ca9a4a3" TargetMode="External"/><Relationship Id="rId3" Type="http://schemas.openxmlformats.org/officeDocument/2006/relationships/hyperlink" Target="https://github.com/GitMarker-Demo-SE-Course/library-app-team-01/commit/63911bc5f24cfe73b1575ff6286429ad9dce0427" TargetMode="External"/><Relationship Id="rId4" Type="http://schemas.openxmlformats.org/officeDocument/2006/relationships/hyperlink" Target="https://github.com/GitMarker-Demo-SE-Course/library-app-team-01/commit/be66e407caa516406a2494e93ac233a1a20f7b61" TargetMode="External"/><Relationship Id="rId5" Type="http://schemas.openxmlformats.org/officeDocument/2006/relationships/hyperlink" Target="https://github.com/GitMarker-Demo-SE-Course/library-app-team-01/commit/18c860882ee85ff130e74be1363a5cdfd6e74331" TargetMode="External"/><Relationship Id="rId6" Type="http://schemas.openxmlformats.org/officeDocument/2006/relationships/hyperlink" Target="https://github.com/GitMarker-Demo-SE-Course/library-app-team-01/commit/0c5393c93f402bb1ae8d2615cdb5c7885e61069f" TargetMode="External"/><Relationship Id="rId7" Type="http://schemas.openxmlformats.org/officeDocument/2006/relationships/hyperlink" Target="https://github.com/GitMarker-Demo-SE-Course/library-app-team-01/tree/experiment%2Fgui-prototype" TargetMode="External"/><Relationship Id="rId8" Type="http://schemas.openxmlformats.org/officeDocument/2006/relationships/hyperlink" Target="https://github.com/GitMarker-Demo-SE-Course/library-app-team-01/commit/ca0d372d27834da499e90243187cbd05d609a866" TargetMode="External"/><Relationship Id="rId9" Type="http://schemas.openxmlformats.org/officeDocument/2006/relationships/hyperlink" Target="https://github.com/GitMarker-Demo-SE-Course/library-app-team-01/commit/63911bc5f24cfe73b1575ff6286429ad9dce0427" TargetMode="External"/><Relationship Id="rId10" Type="http://schemas.openxmlformats.org/officeDocument/2006/relationships/hyperlink" Target="https://github.com/GitMarker-Demo-SE-Course/library-app-team-01/commit/25b4d35156f0b50a8dd9cfc32492419b7ca9a4a3" TargetMode="External"/><Relationship Id="rId11" Type="http://schemas.openxmlformats.org/officeDocument/2006/relationships/hyperlink" Target="https://github.com/GitMarker-Demo-SE-Course/library-app-team-01/pull/2" TargetMode="External"/><Relationship Id="rId12" Type="http://schemas.openxmlformats.org/officeDocument/2006/relationships/hyperlink" Target="https://github.com/GitMarker-Demo-SE-Course/library-app-team-01/pull/6" TargetMode="External"/><Relationship Id="rId13" Type="http://schemas.openxmlformats.org/officeDocument/2006/relationships/hyperlink" Target="https://github.com/GitMarker-Demo-SE-Course/library-app-team-01/pull/2" TargetMode="External"/><Relationship Id="rId14" Type="http://schemas.openxmlformats.org/officeDocument/2006/relationships/hyperlink" Target="https://github.com/GitMarker-Demo-SE-Course/library-app-team-01/pull/3" TargetMode="External"/><Relationship Id="rId1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GitMarker-Demo-SE-Course/library-app-team-01/pull/1" TargetMode="External"/><Relationship Id="rId2" Type="http://schemas.openxmlformats.org/officeDocument/2006/relationships/hyperlink" Target="https://github.com/GitMarker-Demo-SE-Course/library-app-team-01/pull/2" TargetMode="External"/><Relationship Id="rId3" Type="http://schemas.openxmlformats.org/officeDocument/2006/relationships/hyperlink" Target="https://github.com/GitMarker-Demo-SE-Course/library-app-team-01/pull/3" TargetMode="External"/><Relationship Id="rId4" Type="http://schemas.openxmlformats.org/officeDocument/2006/relationships/hyperlink" Target="https://github.com/GitMarker-Demo-SE-Course/library-app-team-01/pull/4" TargetMode="External"/><Relationship Id="rId5" Type="http://schemas.openxmlformats.org/officeDocument/2006/relationships/hyperlink" Target="https://github.com/GitMarker-Demo-SE-Course/library-app-team-01/pull/5" TargetMode="External"/><Relationship Id="rId6" Type="http://schemas.openxmlformats.org/officeDocument/2006/relationships/hyperlink" Target="https://github.com/GitMarker-Demo-SE-Course/library-app-team-01/pull/6" TargetMode="External"/><Relationship Id="rId7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2" width="70"/>
    <col collapsed="false" customWidth="true" hidden="false" outlineLevel="0" max="6" min="3" style="0" width="2"/>
  </cols>
  <sheetData>
    <row r="1" s="4" customFormat="true" ht="27.75" hidden="false" customHeight="true" outlineLevel="0" collapsed="false">
      <c r="A1" s="3" t="s">
        <v>0</v>
      </c>
      <c r="B1" s="3"/>
      <c r="C1" s="3"/>
      <c r="D1" s="3"/>
      <c r="E1" s="3"/>
      <c r="F1" s="3"/>
    </row>
    <row r="2" customFormat="false" ht="18" hidden="false" customHeight="false" outlineLevel="0" collapsed="false">
      <c r="A2" s="5" t="s">
        <v>1</v>
      </c>
      <c r="B2" s="6" t="s">
        <v>2</v>
      </c>
    </row>
    <row r="3" customFormat="false" ht="18" hidden="false" customHeight="false" outlineLevel="0" collapsed="false">
      <c r="A3" s="5" t="s">
        <v>3</v>
      </c>
      <c r="B3" s="6" t="s">
        <v>4</v>
      </c>
    </row>
    <row r="4" customFormat="false" ht="18" hidden="false" customHeight="false" outlineLevel="0" collapsed="false">
      <c r="A4" s="5" t="s">
        <v>5</v>
      </c>
      <c r="B4" s="6" t="s">
        <v>6</v>
      </c>
    </row>
    <row r="5" customFormat="false" ht="18" hidden="false" customHeight="false" outlineLevel="0" collapsed="false">
      <c r="A5" s="5" t="s">
        <v>7</v>
      </c>
      <c r="B5" s="6" t="s">
        <v>8</v>
      </c>
    </row>
    <row r="6" customFormat="false" ht="18" hidden="false" customHeight="false" outlineLevel="0" collapsed="false">
      <c r="A6" s="5" t="s">
        <v>9</v>
      </c>
      <c r="B6" s="6" t="s">
        <v>10</v>
      </c>
    </row>
    <row r="7" customFormat="false" ht="18" hidden="false" customHeight="false" outlineLevel="0" collapsed="false">
      <c r="A7" s="5" t="s">
        <v>11</v>
      </c>
      <c r="B7" s="6" t="s">
        <v>12</v>
      </c>
    </row>
    <row r="8" customFormat="false" ht="18" hidden="false" customHeight="false" outlineLevel="0" collapsed="false">
      <c r="A8" s="5" t="s">
        <v>13</v>
      </c>
      <c r="B8" s="6" t="s">
        <v>14</v>
      </c>
    </row>
    <row r="9" customFormat="false" ht="26.85" hidden="false" customHeight="false" outlineLevel="0" collapsed="false">
      <c r="A9" s="5" t="s">
        <v>15</v>
      </c>
      <c r="B9" s="6" t="s">
        <v>16</v>
      </c>
    </row>
    <row r="10" customFormat="false" ht="26.85" hidden="false" customHeight="false" outlineLevel="0" collapsed="false">
      <c r="A10" s="5" t="s">
        <v>17</v>
      </c>
      <c r="B10" s="6" t="s">
        <v>18</v>
      </c>
    </row>
    <row r="11" customFormat="false" ht="26.85" hidden="false" customHeight="false" outlineLevel="0" collapsed="false">
      <c r="A11" s="5" t="s">
        <v>19</v>
      </c>
      <c r="B11" s="6" t="s">
        <v>20</v>
      </c>
    </row>
    <row r="12" customFormat="false" ht="18" hidden="false" customHeight="false" outlineLevel="0" collapsed="false">
      <c r="A12" s="5" t="s">
        <v>21</v>
      </c>
      <c r="B12" s="6" t="s">
        <v>22</v>
      </c>
    </row>
    <row r="13" customFormat="false" ht="26.85" hidden="false" customHeight="false" outlineLevel="0" collapsed="false">
      <c r="A13" s="5" t="s">
        <v>23</v>
      </c>
      <c r="B13" s="6" t="s">
        <v>24</v>
      </c>
    </row>
    <row r="14" customFormat="false" ht="26.85" hidden="false" customHeight="false" outlineLevel="0" collapsed="false">
      <c r="A14" s="5" t="s">
        <v>25</v>
      </c>
      <c r="B14" s="6" t="s">
        <v>26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2" width="32"/>
    <col collapsed="false" customWidth="true" hidden="false" outlineLevel="0" max="2" min="2" style="2" width="44"/>
    <col collapsed="false" customWidth="true" hidden="false" outlineLevel="0" max="3" min="3" style="2" width="14"/>
    <col collapsed="false" customWidth="true" hidden="false" outlineLevel="0" max="4" min="4" style="2" width="12"/>
    <col collapsed="false" customWidth="true" hidden="false" outlineLevel="0" max="5" min="5" style="2" width="28"/>
    <col collapsed="false" customWidth="true" hidden="false" outlineLevel="0" max="6" min="6" style="2" width="16"/>
    <col collapsed="false" customWidth="true" hidden="false" outlineLevel="0" max="7" min="7" style="2" width="14"/>
    <col collapsed="false" customWidth="true" hidden="false" outlineLevel="0" max="8" min="8" style="2" width="12"/>
    <col collapsed="false" customWidth="true" hidden="false" outlineLevel="0" max="10" min="9" style="2" width="10"/>
    <col collapsed="false" customWidth="true" hidden="false" outlineLevel="0" max="11" min="11" style="2" width="13"/>
    <col collapsed="false" customWidth="true" hidden="false" outlineLevel="0" max="12" min="12" style="2" width="16"/>
    <col collapsed="false" customWidth="true" hidden="false" outlineLevel="0" max="13" min="13" style="2" width="13"/>
    <col collapsed="false" customWidth="true" hidden="false" outlineLevel="0" max="14" min="14" style="2" width="42"/>
    <col collapsed="false" customWidth="true" hidden="false" outlineLevel="0" max="34" min="15" style="2" width="16"/>
  </cols>
  <sheetData>
    <row r="1" s="8" customFormat="true" ht="24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49</v>
      </c>
      <c r="X1" s="7" t="s">
        <v>50</v>
      </c>
      <c r="Y1" s="7" t="s">
        <v>51</v>
      </c>
      <c r="Z1" s="7" t="s">
        <v>52</v>
      </c>
      <c r="AA1" s="7" t="s">
        <v>53</v>
      </c>
      <c r="AB1" s="7" t="s">
        <v>54</v>
      </c>
      <c r="AC1" s="7" t="s">
        <v>55</v>
      </c>
      <c r="AD1" s="7" t="s">
        <v>56</v>
      </c>
      <c r="AE1" s="7" t="s">
        <v>57</v>
      </c>
      <c r="AF1" s="7" t="s">
        <v>58</v>
      </c>
      <c r="AG1" s="7" t="s">
        <v>59</v>
      </c>
      <c r="AH1" s="7" t="s">
        <v>60</v>
      </c>
    </row>
    <row r="2" customFormat="false" ht="39.55" hidden="false" customHeight="false" outlineLevel="0" collapsed="false">
      <c r="A2" s="6" t="s">
        <v>61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n">
        <v>15</v>
      </c>
      <c r="H2" s="6" t="n">
        <v>21</v>
      </c>
      <c r="I2" s="6" t="n">
        <v>10</v>
      </c>
      <c r="J2" s="6" t="n">
        <v>2</v>
      </c>
      <c r="K2" s="6" t="n">
        <v>6</v>
      </c>
      <c r="L2" s="6" t="n">
        <v>6</v>
      </c>
      <c r="M2" s="9" t="b">
        <f aca="false">TRUE()</f>
        <v>1</v>
      </c>
      <c r="N2" s="6"/>
      <c r="O2" s="9" t="b">
        <f aca="false">TRUE()</f>
        <v>1</v>
      </c>
      <c r="P2" s="6" t="n">
        <v>2</v>
      </c>
      <c r="Q2" s="9" t="b">
        <f aca="false">TRUE()</f>
        <v>1</v>
      </c>
      <c r="R2" s="6" t="n">
        <v>1</v>
      </c>
      <c r="S2" s="9" t="b">
        <f aca="false">TRUE()</f>
        <v>1</v>
      </c>
      <c r="T2" s="6" t="n">
        <v>1</v>
      </c>
      <c r="U2" s="9" t="b">
        <f aca="false">TRUE()</f>
        <v>1</v>
      </c>
      <c r="V2" s="6" t="n">
        <v>1</v>
      </c>
      <c r="W2" s="9" t="b">
        <f aca="false">TRUE()</f>
        <v>1</v>
      </c>
      <c r="X2" s="6" t="n">
        <v>1</v>
      </c>
      <c r="Y2" s="9" t="b">
        <f aca="false">TRUE()</f>
        <v>1</v>
      </c>
      <c r="Z2" s="9" t="b">
        <f aca="false">TRUE()</f>
        <v>1</v>
      </c>
      <c r="AA2" s="6" t="n">
        <v>1</v>
      </c>
      <c r="AB2" s="9" t="b">
        <f aca="false">TRUE()</f>
        <v>1</v>
      </c>
      <c r="AC2" s="6" t="n">
        <v>3</v>
      </c>
      <c r="AD2" s="9" t="b">
        <f aca="false">TRUE()</f>
        <v>1</v>
      </c>
      <c r="AE2" s="6" t="n">
        <v>2</v>
      </c>
      <c r="AF2" s="9" t="b">
        <f aca="false">TRUE()</f>
        <v>1</v>
      </c>
      <c r="AG2" s="6" t="n">
        <v>2</v>
      </c>
      <c r="AH2" s="9" t="b">
        <f aca="false">TRUE()</f>
        <v>1</v>
      </c>
    </row>
  </sheetData>
  <autoFilter ref="A1:AH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10" width="60"/>
  </cols>
  <sheetData>
    <row r="1" s="8" customFormat="true" ht="24" hidden="false" customHeight="true" outlineLevel="0" collapsed="false">
      <c r="A1" s="8" t="s">
        <v>27</v>
      </c>
      <c r="B1" s="8" t="s">
        <v>29</v>
      </c>
      <c r="C1" s="8" t="s">
        <v>30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7" t="s">
        <v>72</v>
      </c>
    </row>
    <row r="2" customFormat="false" ht="18" hidden="false" customHeight="false" outlineLevel="0" collapsed="false">
      <c r="A2" s="11" t="s">
        <v>61</v>
      </c>
      <c r="B2" s="11" t="s">
        <v>73</v>
      </c>
      <c r="C2" s="11" t="s">
        <v>64</v>
      </c>
      <c r="D2" s="11" t="s">
        <v>74</v>
      </c>
      <c r="E2" s="11" t="s">
        <v>75</v>
      </c>
      <c r="F2" s="11" t="s">
        <v>76</v>
      </c>
      <c r="G2" s="11" t="n">
        <v>1</v>
      </c>
      <c r="H2" s="12" t="s">
        <v>77</v>
      </c>
      <c r="I2" s="6" t="s">
        <v>78</v>
      </c>
    </row>
    <row r="3" customFormat="false" ht="18" hidden="false" customHeight="false" outlineLevel="0" collapsed="false">
      <c r="A3" s="11" t="s">
        <v>61</v>
      </c>
      <c r="B3" s="11" t="s">
        <v>79</v>
      </c>
      <c r="C3" s="11" t="s">
        <v>64</v>
      </c>
      <c r="D3" s="11" t="s">
        <v>74</v>
      </c>
      <c r="E3" s="11" t="s">
        <v>80</v>
      </c>
      <c r="F3" s="11" t="s">
        <v>81</v>
      </c>
      <c r="G3" s="11" t="n">
        <v>1</v>
      </c>
      <c r="H3" s="12" t="s">
        <v>77</v>
      </c>
      <c r="I3" s="6" t="s">
        <v>82</v>
      </c>
    </row>
    <row r="4" customFormat="false" ht="18" hidden="false" customHeight="false" outlineLevel="0" collapsed="false">
      <c r="A4" s="11" t="s">
        <v>61</v>
      </c>
      <c r="B4" s="11" t="s">
        <v>73</v>
      </c>
      <c r="C4" s="11" t="s">
        <v>64</v>
      </c>
      <c r="D4" s="11" t="s">
        <v>83</v>
      </c>
      <c r="E4" s="11" t="s">
        <v>75</v>
      </c>
      <c r="F4" s="11" t="s">
        <v>84</v>
      </c>
      <c r="G4" s="11" t="n">
        <v>1</v>
      </c>
      <c r="H4" s="12" t="s">
        <v>77</v>
      </c>
      <c r="I4" s="6" t="s">
        <v>85</v>
      </c>
    </row>
    <row r="5" customFormat="false" ht="39.55" hidden="false" customHeight="false" outlineLevel="0" collapsed="false">
      <c r="A5" s="11" t="s">
        <v>61</v>
      </c>
      <c r="B5" s="11" t="s">
        <v>73</v>
      </c>
      <c r="C5" s="11" t="s">
        <v>64</v>
      </c>
      <c r="D5" s="11" t="s">
        <v>86</v>
      </c>
      <c r="E5" s="11" t="s">
        <v>75</v>
      </c>
      <c r="F5" s="11" t="s">
        <v>87</v>
      </c>
      <c r="G5" s="11" t="n">
        <v>1</v>
      </c>
      <c r="H5" s="12" t="s">
        <v>77</v>
      </c>
      <c r="I5" s="6" t="s">
        <v>88</v>
      </c>
    </row>
    <row r="6" customFormat="false" ht="18" hidden="false" customHeight="false" outlineLevel="0" collapsed="false">
      <c r="A6" s="11" t="s">
        <v>61</v>
      </c>
      <c r="B6" s="11" t="s">
        <v>79</v>
      </c>
      <c r="C6" s="11" t="s">
        <v>64</v>
      </c>
      <c r="D6" s="11" t="s">
        <v>89</v>
      </c>
      <c r="E6" s="11" t="s">
        <v>80</v>
      </c>
      <c r="F6" s="11" t="s">
        <v>90</v>
      </c>
      <c r="G6" s="11" t="n">
        <v>1</v>
      </c>
      <c r="H6" s="12" t="s">
        <v>77</v>
      </c>
      <c r="I6" s="6" t="s">
        <v>91</v>
      </c>
    </row>
    <row r="7" customFormat="false" ht="18" hidden="false" customHeight="false" outlineLevel="0" collapsed="false">
      <c r="A7" s="11" t="s">
        <v>61</v>
      </c>
      <c r="B7" s="11" t="s">
        <v>79</v>
      </c>
      <c r="C7" s="11" t="s">
        <v>64</v>
      </c>
      <c r="D7" s="11" t="s">
        <v>92</v>
      </c>
      <c r="E7" s="11" t="s">
        <v>80</v>
      </c>
      <c r="F7" s="11" t="s">
        <v>90</v>
      </c>
      <c r="G7" s="11" t="n">
        <v>1</v>
      </c>
      <c r="H7" s="12" t="s">
        <v>77</v>
      </c>
      <c r="I7" s="6" t="s">
        <v>93</v>
      </c>
    </row>
    <row r="8" customFormat="false" ht="18" hidden="false" customHeight="false" outlineLevel="0" collapsed="false">
      <c r="A8" s="11" t="s">
        <v>61</v>
      </c>
      <c r="B8" s="11"/>
      <c r="C8" s="11" t="s">
        <v>64</v>
      </c>
      <c r="D8" s="11" t="s">
        <v>94</v>
      </c>
      <c r="E8" s="11"/>
      <c r="F8" s="11" t="s">
        <v>95</v>
      </c>
      <c r="G8" s="11" t="n">
        <v>1</v>
      </c>
      <c r="H8" s="12" t="s">
        <v>77</v>
      </c>
      <c r="I8" s="6" t="s">
        <v>96</v>
      </c>
    </row>
    <row r="9" customFormat="false" ht="18" hidden="false" customHeight="false" outlineLevel="0" collapsed="false">
      <c r="A9" s="11" t="s">
        <v>61</v>
      </c>
      <c r="B9" s="11" t="s">
        <v>73</v>
      </c>
      <c r="C9" s="11" t="s">
        <v>64</v>
      </c>
      <c r="D9" s="11" t="s">
        <v>97</v>
      </c>
      <c r="E9" s="11" t="s">
        <v>75</v>
      </c>
      <c r="F9" s="11" t="s">
        <v>98</v>
      </c>
      <c r="G9" s="11" t="n">
        <v>1</v>
      </c>
      <c r="H9" s="12" t="s">
        <v>77</v>
      </c>
      <c r="I9" s="6" t="s">
        <v>99</v>
      </c>
    </row>
    <row r="10" customFormat="false" ht="18" hidden="false" customHeight="false" outlineLevel="0" collapsed="false">
      <c r="A10" s="11" t="s">
        <v>61</v>
      </c>
      <c r="B10" s="11" t="s">
        <v>73</v>
      </c>
      <c r="C10" s="11" t="s">
        <v>64</v>
      </c>
      <c r="D10" s="11" t="s">
        <v>97</v>
      </c>
      <c r="E10" s="11" t="s">
        <v>75</v>
      </c>
      <c r="F10" s="11" t="s">
        <v>100</v>
      </c>
      <c r="G10" s="11" t="n">
        <v>1</v>
      </c>
      <c r="H10" s="12" t="s">
        <v>77</v>
      </c>
      <c r="I10" s="6" t="s">
        <v>99</v>
      </c>
    </row>
    <row r="11" customFormat="false" ht="18" hidden="false" customHeight="false" outlineLevel="0" collapsed="false">
      <c r="A11" s="11" t="s">
        <v>61</v>
      </c>
      <c r="B11" s="11" t="s">
        <v>79</v>
      </c>
      <c r="C11" s="11" t="s">
        <v>64</v>
      </c>
      <c r="D11" s="11" t="s">
        <v>97</v>
      </c>
      <c r="E11" s="11" t="s">
        <v>80</v>
      </c>
      <c r="F11" s="11" t="s">
        <v>101</v>
      </c>
      <c r="G11" s="11" t="n">
        <v>1</v>
      </c>
      <c r="H11" s="12" t="s">
        <v>77</v>
      </c>
      <c r="I11" s="6" t="s">
        <v>99</v>
      </c>
    </row>
    <row r="12" customFormat="false" ht="18" hidden="false" customHeight="false" outlineLevel="0" collapsed="false">
      <c r="A12" s="11" t="s">
        <v>61</v>
      </c>
      <c r="B12" s="11" t="s">
        <v>79</v>
      </c>
      <c r="C12" s="11" t="s">
        <v>64</v>
      </c>
      <c r="D12" s="11" t="s">
        <v>102</v>
      </c>
      <c r="E12" s="11" t="s">
        <v>80</v>
      </c>
      <c r="F12" s="11" t="s">
        <v>103</v>
      </c>
      <c r="G12" s="11" t="n">
        <v>1</v>
      </c>
      <c r="H12" s="12" t="s">
        <v>77</v>
      </c>
      <c r="I12" s="6" t="s">
        <v>104</v>
      </c>
    </row>
    <row r="13" customFormat="false" ht="18" hidden="false" customHeight="false" outlineLevel="0" collapsed="false">
      <c r="A13" s="11" t="s">
        <v>61</v>
      </c>
      <c r="B13" s="11" t="s">
        <v>79</v>
      </c>
      <c r="C13" s="11" t="s">
        <v>64</v>
      </c>
      <c r="D13" s="11" t="s">
        <v>102</v>
      </c>
      <c r="E13" s="11" t="s">
        <v>80</v>
      </c>
      <c r="F13" s="11" t="s">
        <v>105</v>
      </c>
      <c r="G13" s="11" t="n">
        <v>1</v>
      </c>
      <c r="H13" s="12" t="s">
        <v>77</v>
      </c>
      <c r="I13" s="6" t="s">
        <v>106</v>
      </c>
    </row>
    <row r="14" customFormat="false" ht="26.85" hidden="false" customHeight="false" outlineLevel="0" collapsed="false">
      <c r="A14" s="11" t="s">
        <v>61</v>
      </c>
      <c r="B14" s="11" t="s">
        <v>79</v>
      </c>
      <c r="C14" s="11" t="s">
        <v>64</v>
      </c>
      <c r="D14" s="11" t="s">
        <v>107</v>
      </c>
      <c r="E14" s="11" t="s">
        <v>80</v>
      </c>
      <c r="F14" s="11" t="s">
        <v>103</v>
      </c>
      <c r="G14" s="11" t="n">
        <v>1</v>
      </c>
      <c r="H14" s="12" t="s">
        <v>77</v>
      </c>
      <c r="I14" s="6" t="s">
        <v>108</v>
      </c>
    </row>
    <row r="15" customFormat="false" ht="39.55" hidden="false" customHeight="false" outlineLevel="0" collapsed="false">
      <c r="A15" s="11" t="s">
        <v>61</v>
      </c>
      <c r="B15" s="11" t="s">
        <v>73</v>
      </c>
      <c r="C15" s="11" t="s">
        <v>64</v>
      </c>
      <c r="D15" s="11" t="s">
        <v>107</v>
      </c>
      <c r="E15" s="11" t="s">
        <v>75</v>
      </c>
      <c r="F15" s="11" t="s">
        <v>109</v>
      </c>
      <c r="G15" s="11" t="n">
        <v>1</v>
      </c>
      <c r="H15" s="12" t="s">
        <v>77</v>
      </c>
      <c r="I15" s="6" t="s">
        <v>110</v>
      </c>
    </row>
  </sheetData>
  <autoFilter ref="A1:I1"/>
  <hyperlinks>
    <hyperlink ref="H2" r:id="rId1" display="Open evidence"/>
    <hyperlink ref="H3" r:id="rId2" display="Open evidence"/>
    <hyperlink ref="H4" r:id="rId3" display="Open evidence"/>
    <hyperlink ref="H5" r:id="rId4" display="Open evidence"/>
    <hyperlink ref="H6" r:id="rId5" display="Open evidence"/>
    <hyperlink ref="H7" r:id="rId6" display="Open evidence"/>
    <hyperlink ref="H8" r:id="rId7" display="Open evidence"/>
    <hyperlink ref="H9" r:id="rId8" display="Open evidence"/>
    <hyperlink ref="H10" r:id="rId9" display="Open evidence"/>
    <hyperlink ref="H11" r:id="rId10" display="Open evidence"/>
    <hyperlink ref="H12" r:id="rId11" display="Open evidence"/>
    <hyperlink ref="H13" r:id="rId12" display="Open evidence"/>
    <hyperlink ref="H14" r:id="rId13" display="Open evidence"/>
    <hyperlink ref="H15" r:id="rId14" display="Open evidenc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8" min="5" style="0" width="18"/>
    <col collapsed="false" customWidth="true" hidden="false" outlineLevel="0" max="9" min="9" style="13" width="12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8"/>
  </cols>
  <sheetData>
    <row r="1" s="8" customFormat="true" ht="24" hidden="false" customHeight="true" outlineLevel="0" collapsed="false">
      <c r="A1" s="8" t="s">
        <v>27</v>
      </c>
      <c r="B1" s="8" t="s">
        <v>29</v>
      </c>
      <c r="C1" s="8" t="s">
        <v>30</v>
      </c>
      <c r="D1" s="8" t="s">
        <v>111</v>
      </c>
      <c r="E1" s="8" t="s">
        <v>112</v>
      </c>
      <c r="F1" s="8" t="s">
        <v>113</v>
      </c>
      <c r="G1" s="8" t="s">
        <v>114</v>
      </c>
      <c r="H1" s="8" t="s">
        <v>115</v>
      </c>
      <c r="I1" s="14" t="s">
        <v>116</v>
      </c>
      <c r="J1" s="8" t="s">
        <v>117</v>
      </c>
      <c r="K1" s="8" t="s">
        <v>118</v>
      </c>
      <c r="L1" s="8" t="s">
        <v>119</v>
      </c>
    </row>
    <row r="2" customFormat="false" ht="18" hidden="false" customHeight="false" outlineLevel="0" collapsed="false">
      <c r="A2" s="11" t="s">
        <v>61</v>
      </c>
      <c r="B2" s="11" t="s">
        <v>63</v>
      </c>
      <c r="C2" s="11" t="s">
        <v>64</v>
      </c>
      <c r="D2" s="11" t="s">
        <v>120</v>
      </c>
      <c r="E2" s="11" t="s">
        <v>75</v>
      </c>
      <c r="F2" s="11" t="s">
        <v>80</v>
      </c>
      <c r="G2" s="11" t="s">
        <v>121</v>
      </c>
      <c r="H2" s="11" t="s">
        <v>122</v>
      </c>
      <c r="I2" s="15" t="n">
        <v>176.3</v>
      </c>
      <c r="J2" s="11" t="s">
        <v>123</v>
      </c>
      <c r="K2" s="11" t="s">
        <v>124</v>
      </c>
      <c r="L2" s="12" t="s">
        <v>125</v>
      </c>
    </row>
    <row r="3" customFormat="false" ht="18" hidden="false" customHeight="false" outlineLevel="0" collapsed="false">
      <c r="A3" s="11" t="s">
        <v>61</v>
      </c>
      <c r="B3" s="11" t="s">
        <v>63</v>
      </c>
      <c r="C3" s="11" t="s">
        <v>64</v>
      </c>
      <c r="D3" s="11" t="s">
        <v>126</v>
      </c>
      <c r="E3" s="11" t="s">
        <v>80</v>
      </c>
      <c r="F3" s="11" t="s">
        <v>80</v>
      </c>
      <c r="G3" s="11" t="s">
        <v>127</v>
      </c>
      <c r="H3" s="11" t="s">
        <v>128</v>
      </c>
      <c r="I3" s="15" t="n">
        <v>15.8</v>
      </c>
      <c r="J3" s="11" t="s">
        <v>129</v>
      </c>
      <c r="K3" s="11" t="s">
        <v>130</v>
      </c>
      <c r="L3" s="12" t="s">
        <v>125</v>
      </c>
    </row>
    <row r="4" customFormat="false" ht="18" hidden="false" customHeight="false" outlineLevel="0" collapsed="false">
      <c r="A4" s="11" t="s">
        <v>61</v>
      </c>
      <c r="B4" s="11" t="s">
        <v>63</v>
      </c>
      <c r="C4" s="11" t="s">
        <v>64</v>
      </c>
      <c r="D4" s="11" t="s">
        <v>131</v>
      </c>
      <c r="E4" s="11" t="s">
        <v>75</v>
      </c>
      <c r="F4" s="11" t="s">
        <v>80</v>
      </c>
      <c r="G4" s="11" t="s">
        <v>132</v>
      </c>
      <c r="H4" s="11" t="s">
        <v>133</v>
      </c>
      <c r="I4" s="15" t="n">
        <v>59.5</v>
      </c>
      <c r="J4" s="11" t="s">
        <v>134</v>
      </c>
      <c r="K4" s="11" t="s">
        <v>135</v>
      </c>
      <c r="L4" s="12" t="s">
        <v>125</v>
      </c>
    </row>
    <row r="5" customFormat="false" ht="18" hidden="false" customHeight="false" outlineLevel="0" collapsed="false">
      <c r="A5" s="11" t="s">
        <v>61</v>
      </c>
      <c r="B5" s="11" t="s">
        <v>63</v>
      </c>
      <c r="C5" s="11" t="s">
        <v>64</v>
      </c>
      <c r="D5" s="11" t="s">
        <v>136</v>
      </c>
      <c r="E5" s="11" t="s">
        <v>75</v>
      </c>
      <c r="F5" s="11" t="s">
        <v>80</v>
      </c>
      <c r="G5" s="11" t="s">
        <v>137</v>
      </c>
      <c r="H5" s="11" t="s">
        <v>138</v>
      </c>
      <c r="I5" s="15" t="n">
        <v>129.2</v>
      </c>
      <c r="J5" s="11" t="s">
        <v>139</v>
      </c>
      <c r="K5" s="11" t="s">
        <v>124</v>
      </c>
      <c r="L5" s="12" t="s">
        <v>125</v>
      </c>
    </row>
    <row r="6" customFormat="false" ht="18" hidden="false" customHeight="false" outlineLevel="0" collapsed="false">
      <c r="A6" s="11" t="s">
        <v>61</v>
      </c>
      <c r="B6" s="11" t="s">
        <v>63</v>
      </c>
      <c r="C6" s="11" t="s">
        <v>64</v>
      </c>
      <c r="D6" s="11" t="s">
        <v>140</v>
      </c>
      <c r="E6" s="11" t="s">
        <v>80</v>
      </c>
      <c r="F6" s="11" t="s">
        <v>75</v>
      </c>
      <c r="G6" s="11" t="s">
        <v>141</v>
      </c>
      <c r="H6" s="11" t="s">
        <v>142</v>
      </c>
      <c r="I6" s="15" t="n">
        <v>124.5</v>
      </c>
      <c r="J6" s="11" t="s">
        <v>143</v>
      </c>
      <c r="K6" s="11" t="s">
        <v>124</v>
      </c>
      <c r="L6" s="12" t="s">
        <v>125</v>
      </c>
    </row>
    <row r="7" customFormat="false" ht="18" hidden="false" customHeight="false" outlineLevel="0" collapsed="false">
      <c r="A7" s="11" t="s">
        <v>61</v>
      </c>
      <c r="B7" s="11" t="s">
        <v>63</v>
      </c>
      <c r="C7" s="11" t="s">
        <v>64</v>
      </c>
      <c r="D7" s="11" t="s">
        <v>144</v>
      </c>
      <c r="E7" s="11" t="s">
        <v>80</v>
      </c>
      <c r="F7" s="11" t="s">
        <v>80</v>
      </c>
      <c r="G7" s="11" t="s">
        <v>145</v>
      </c>
      <c r="H7" s="11" t="s">
        <v>146</v>
      </c>
      <c r="I7" s="15" t="n">
        <v>88.8</v>
      </c>
      <c r="J7" s="11" t="s">
        <v>147</v>
      </c>
      <c r="K7" s="11" t="s">
        <v>124</v>
      </c>
      <c r="L7" s="12" t="s">
        <v>125</v>
      </c>
    </row>
  </sheetData>
  <autoFilter ref="A1:L1"/>
  <hyperlinks>
    <hyperlink ref="L2" r:id="rId1" display="Open pull request"/>
    <hyperlink ref="L3" r:id="rId2" display="Open pull request"/>
    <hyperlink ref="L4" r:id="rId3" display="Open pull request"/>
    <hyperlink ref="L5" r:id="rId4" display="Open pull request"/>
    <hyperlink ref="L6" r:id="rId5" display="Open pull request"/>
    <hyperlink ref="L7" r:id="rId6" display="Open pull reques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16" width="13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10" width="52"/>
  </cols>
  <sheetData>
    <row r="1" s="4" customFormat="true" ht="27.75" hidden="false" customHeight="true" outlineLevel="0" collapsed="false">
      <c r="A1" s="17" t="s">
        <v>148</v>
      </c>
      <c r="B1" s="17"/>
      <c r="C1" s="17"/>
      <c r="D1" s="17"/>
      <c r="E1" s="17"/>
      <c r="F1" s="17"/>
      <c r="G1" s="17"/>
      <c r="H1" s="17"/>
      <c r="I1" s="17"/>
      <c r="J1" s="17"/>
    </row>
    <row r="2" customFormat="false" ht="18" hidden="false" customHeight="false" outlineLevel="0" collapsed="false">
      <c r="A2" s="11" t="s">
        <v>149</v>
      </c>
    </row>
    <row r="3" customFormat="false" ht="18" hidden="false" customHeight="false" outlineLevel="0" collapsed="false">
      <c r="A3" s="11" t="s">
        <v>150</v>
      </c>
      <c r="B3" s="18" t="n">
        <v>6</v>
      </c>
      <c r="C3" s="11" t="s">
        <v>151</v>
      </c>
      <c r="D3" s="19" t="n">
        <v>0.5</v>
      </c>
    </row>
    <row r="6" s="8" customFormat="true" ht="24" hidden="false" customHeight="true" outlineLevel="0" collapsed="false">
      <c r="A6" s="8" t="s">
        <v>67</v>
      </c>
      <c r="B6" s="8" t="s">
        <v>152</v>
      </c>
      <c r="C6" s="8" t="s">
        <v>153</v>
      </c>
      <c r="D6" s="8" t="s">
        <v>154</v>
      </c>
      <c r="E6" s="8" t="s">
        <v>155</v>
      </c>
      <c r="F6" s="20" t="s">
        <v>156</v>
      </c>
      <c r="G6" s="8" t="s">
        <v>157</v>
      </c>
      <c r="H6" s="8" t="s">
        <v>158</v>
      </c>
      <c r="I6" s="8" t="s">
        <v>159</v>
      </c>
      <c r="J6" s="7" t="s">
        <v>160</v>
      </c>
    </row>
    <row r="7" customFormat="false" ht="26.85" hidden="false" customHeight="false" outlineLevel="0" collapsed="false">
      <c r="A7" s="11" t="s">
        <v>161</v>
      </c>
      <c r="B7" s="11" t="s">
        <v>162</v>
      </c>
      <c r="C7" s="21" t="b">
        <f aca="false">TRUE()</f>
        <v>1</v>
      </c>
      <c r="D7" s="21" t="b">
        <f aca="false">TRUE()</f>
        <v>1</v>
      </c>
      <c r="E7" s="18" t="n">
        <v>6</v>
      </c>
      <c r="F7" s="19" t="n">
        <v>0</v>
      </c>
      <c r="G7" s="18" t="n">
        <v>0</v>
      </c>
      <c r="H7" s="18" t="n">
        <v>0.2</v>
      </c>
      <c r="I7" s="22"/>
      <c r="J7" s="6" t="s">
        <v>163</v>
      </c>
    </row>
    <row r="8" customFormat="false" ht="26.85" hidden="false" customHeight="false" outlineLevel="0" collapsed="false">
      <c r="A8" s="11" t="s">
        <v>74</v>
      </c>
      <c r="B8" s="11" t="s">
        <v>164</v>
      </c>
      <c r="C8" s="21" t="b">
        <f aca="false">TRUE()</f>
        <v>1</v>
      </c>
      <c r="D8" s="21" t="b">
        <f aca="false">TRUE()</f>
        <v>1</v>
      </c>
      <c r="E8" s="11" t="n">
        <v>5</v>
      </c>
      <c r="F8" s="19" t="n">
        <v>0.05</v>
      </c>
      <c r="G8" s="18" t="n">
        <v>0</v>
      </c>
      <c r="H8" s="18" t="n">
        <v>0.5</v>
      </c>
      <c r="I8" s="22"/>
      <c r="J8" s="6" t="s">
        <v>165</v>
      </c>
    </row>
    <row r="9" customFormat="false" ht="18" hidden="false" customHeight="false" outlineLevel="0" collapsed="false">
      <c r="A9" s="11" t="s">
        <v>83</v>
      </c>
      <c r="B9" s="11" t="s">
        <v>166</v>
      </c>
      <c r="C9" s="21" t="b">
        <f aca="false">TRUE()</f>
        <v>1</v>
      </c>
      <c r="D9" s="21" t="b">
        <f aca="false">TRUE()</f>
        <v>1</v>
      </c>
      <c r="E9" s="11"/>
      <c r="F9" s="19" t="n">
        <v>0</v>
      </c>
      <c r="G9" s="18" t="n">
        <v>0</v>
      </c>
      <c r="H9" s="18" t="n">
        <v>0.25</v>
      </c>
      <c r="I9" s="22"/>
      <c r="J9" s="6"/>
    </row>
    <row r="10" customFormat="false" ht="26.85" hidden="false" customHeight="false" outlineLevel="0" collapsed="false">
      <c r="A10" s="11" t="s">
        <v>86</v>
      </c>
      <c r="B10" s="11" t="s">
        <v>167</v>
      </c>
      <c r="C10" s="21" t="b">
        <f aca="false">TRUE()</f>
        <v>1</v>
      </c>
      <c r="D10" s="21" t="b">
        <f aca="false">TRUE()</f>
        <v>1</v>
      </c>
      <c r="E10" s="11" t="n">
        <v>5</v>
      </c>
      <c r="F10" s="19" t="n">
        <v>0</v>
      </c>
      <c r="G10" s="18" t="n">
        <v>0</v>
      </c>
      <c r="H10" s="18" t="n">
        <v>0.5</v>
      </c>
      <c r="I10" s="22"/>
      <c r="J10" s="6" t="s">
        <v>168</v>
      </c>
    </row>
    <row r="11" customFormat="false" ht="18" hidden="false" customHeight="false" outlineLevel="0" collapsed="false">
      <c r="A11" s="11" t="s">
        <v>89</v>
      </c>
      <c r="B11" s="11" t="s">
        <v>169</v>
      </c>
      <c r="C11" s="21" t="b">
        <f aca="false">TRUE()</f>
        <v>1</v>
      </c>
      <c r="D11" s="21" t="b">
        <f aca="false">TRUE()</f>
        <v>1</v>
      </c>
      <c r="E11" s="11"/>
      <c r="F11" s="19" t="n">
        <v>0</v>
      </c>
      <c r="G11" s="18" t="n">
        <v>0</v>
      </c>
      <c r="H11" s="18" t="n">
        <v>1</v>
      </c>
      <c r="I11" s="22"/>
      <c r="J11" s="6"/>
    </row>
    <row r="12" customFormat="false" ht="18" hidden="false" customHeight="false" outlineLevel="0" collapsed="false">
      <c r="A12" s="11" t="s">
        <v>92</v>
      </c>
      <c r="B12" s="11" t="s">
        <v>170</v>
      </c>
      <c r="C12" s="21" t="b">
        <f aca="false">TRUE()</f>
        <v>1</v>
      </c>
      <c r="D12" s="21" t="b">
        <f aca="false">FALSE()</f>
        <v>0</v>
      </c>
      <c r="E12" s="11"/>
      <c r="F12" s="19" t="n">
        <v>0</v>
      </c>
      <c r="G12" s="18" t="n">
        <v>0</v>
      </c>
      <c r="H12" s="18" t="n">
        <v>0.5</v>
      </c>
      <c r="I12" s="22"/>
      <c r="J12" s="6"/>
    </row>
    <row r="13" customFormat="false" ht="26.85" hidden="false" customHeight="false" outlineLevel="0" collapsed="false">
      <c r="A13" s="11" t="s">
        <v>171</v>
      </c>
      <c r="B13" s="11" t="s">
        <v>172</v>
      </c>
      <c r="C13" s="21" t="b">
        <f aca="false">TRUE()</f>
        <v>1</v>
      </c>
      <c r="D13" s="21" t="b">
        <f aca="false">TRUE()</f>
        <v>1</v>
      </c>
      <c r="E13" s="18" t="n">
        <v>3</v>
      </c>
      <c r="F13" s="19" t="n">
        <v>0</v>
      </c>
      <c r="G13" s="18" t="n">
        <v>0</v>
      </c>
      <c r="H13" s="18" t="n">
        <v>0.5</v>
      </c>
      <c r="I13" s="22"/>
      <c r="J13" s="6" t="s">
        <v>163</v>
      </c>
    </row>
    <row r="14" customFormat="false" ht="26.85" hidden="false" customHeight="false" outlineLevel="0" collapsed="false">
      <c r="A14" s="11" t="s">
        <v>94</v>
      </c>
      <c r="B14" s="11" t="s">
        <v>173</v>
      </c>
      <c r="C14" s="21" t="b">
        <f aca="false">TRUE()</f>
        <v>1</v>
      </c>
      <c r="D14" s="21" t="b">
        <f aca="false">TRUE()</f>
        <v>1</v>
      </c>
      <c r="E14" s="11" t="n">
        <v>1</v>
      </c>
      <c r="F14" s="19" t="n">
        <v>0</v>
      </c>
      <c r="G14" s="18" t="n">
        <v>0</v>
      </c>
      <c r="H14" s="18" t="n">
        <v>0.5</v>
      </c>
      <c r="I14" s="22"/>
      <c r="J14" s="6" t="s">
        <v>174</v>
      </c>
    </row>
    <row r="15" customFormat="false" ht="18" hidden="false" customHeight="false" outlineLevel="0" collapsed="false">
      <c r="A15" s="11" t="s">
        <v>97</v>
      </c>
      <c r="B15" s="11" t="s">
        <v>175</v>
      </c>
      <c r="C15" s="21" t="b">
        <f aca="false">TRUE()</f>
        <v>1</v>
      </c>
      <c r="D15" s="21" t="b">
        <f aca="false">TRUE()</f>
        <v>1</v>
      </c>
      <c r="E15" s="11"/>
      <c r="F15" s="19" t="n">
        <v>0</v>
      </c>
      <c r="G15" s="18" t="n">
        <v>0</v>
      </c>
      <c r="H15" s="18" t="n">
        <v>0.5</v>
      </c>
      <c r="I15" s="22"/>
      <c r="J15" s="6"/>
    </row>
    <row r="16" customFormat="false" ht="18" hidden="false" customHeight="false" outlineLevel="0" collapsed="false">
      <c r="A16" s="11" t="s">
        <v>102</v>
      </c>
      <c r="B16" s="11" t="s">
        <v>176</v>
      </c>
      <c r="C16" s="21" t="b">
        <f aca="false">TRUE()</f>
        <v>1</v>
      </c>
      <c r="D16" s="21" t="b">
        <f aca="false">TRUE()</f>
        <v>1</v>
      </c>
      <c r="E16" s="11"/>
      <c r="F16" s="19" t="n">
        <v>0.1</v>
      </c>
      <c r="G16" s="18" t="n">
        <v>0</v>
      </c>
      <c r="H16" s="18" t="n">
        <v>0.5</v>
      </c>
      <c r="I16" s="22"/>
      <c r="J16" s="6"/>
    </row>
    <row r="17" customFormat="false" ht="18" hidden="false" customHeight="false" outlineLevel="0" collapsed="false">
      <c r="A17" s="11" t="s">
        <v>107</v>
      </c>
      <c r="B17" s="11" t="s">
        <v>177</v>
      </c>
      <c r="C17" s="21" t="b">
        <f aca="false">TRUE()</f>
        <v>1</v>
      </c>
      <c r="D17" s="21" t="b">
        <f aca="false">TRUE()</f>
        <v>1</v>
      </c>
      <c r="E17" s="11"/>
      <c r="F17" s="19" t="n">
        <v>0.1</v>
      </c>
      <c r="G17" s="18" t="n">
        <v>0</v>
      </c>
      <c r="H17" s="18" t="n">
        <v>0.5</v>
      </c>
      <c r="I17" s="22"/>
      <c r="J17" s="6"/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C7:D17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16" min="6" style="0" width="16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12"/>
  </cols>
  <sheetData>
    <row r="1" s="4" customFormat="true" ht="27.75" hidden="false" customHeight="true" outlineLevel="0" collapsed="false">
      <c r="A1" s="23" t="s">
        <v>178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="8" customFormat="true" ht="24" hidden="false" customHeight="true" outlineLevel="0" collapsed="false">
      <c r="A2" s="8" t="s">
        <v>27</v>
      </c>
      <c r="B2" s="8" t="s">
        <v>29</v>
      </c>
      <c r="C2" s="8" t="s">
        <v>30</v>
      </c>
      <c r="D2" s="8" t="s">
        <v>179</v>
      </c>
      <c r="E2" s="8" t="s">
        <v>180</v>
      </c>
      <c r="F2" s="8" t="s">
        <v>181</v>
      </c>
      <c r="G2" s="8" t="s">
        <v>164</v>
      </c>
      <c r="H2" s="8" t="s">
        <v>166</v>
      </c>
      <c r="I2" s="8" t="s">
        <v>167</v>
      </c>
      <c r="J2" s="8" t="s">
        <v>169</v>
      </c>
      <c r="K2" s="8" t="s">
        <v>170</v>
      </c>
      <c r="L2" s="8" t="s">
        <v>182</v>
      </c>
      <c r="M2" s="8" t="s">
        <v>173</v>
      </c>
      <c r="N2" s="8" t="s">
        <v>175</v>
      </c>
      <c r="O2" s="8" t="s">
        <v>176</v>
      </c>
      <c r="P2" s="8" t="s">
        <v>177</v>
      </c>
      <c r="Q2" s="8" t="s">
        <v>183</v>
      </c>
      <c r="R2" s="8" t="s">
        <v>184</v>
      </c>
      <c r="S2" s="8" t="s">
        <v>185</v>
      </c>
    </row>
    <row r="3" customFormat="false" ht="18" hidden="false" customHeight="false" outlineLevel="0" collapsed="false">
      <c r="A3" s="11" t="str">
        <f aca="false">'Raw Summary'!A2</f>
        <v>library-app-team-01</v>
      </c>
      <c r="B3" s="11" t="str">
        <f aca="false">'Raw Summary'!C2</f>
        <v>S1002;S1001</v>
      </c>
      <c r="C3" s="11" t="str">
        <f aca="false">'Raw Summary'!D2</f>
        <v>team-01</v>
      </c>
      <c r="D3" s="24" t="b">
        <f aca="false">'Raw Summary'!M2</f>
        <v>1</v>
      </c>
      <c r="E3" s="11" t="str">
        <f aca="false">IF(D3,"","INCOMPLETE DATA")</f>
        <v/>
      </c>
      <c r="F3" s="11" t="n">
        <f aca="false">IF('Raw Summary'!O2,MAX('Rubric Settings'!E7-'Raw Summary'!G2,0),"")</f>
        <v>0</v>
      </c>
      <c r="G3" s="11" t="n">
        <f aca="false">IF('Raw Summary'!Q2,'Raw Summary'!P2,"")</f>
        <v>2</v>
      </c>
      <c r="H3" s="11" t="n">
        <f aca="false">IF('Raw Summary'!S2,'Raw Summary'!R2,"")</f>
        <v>1</v>
      </c>
      <c r="I3" s="11" t="n">
        <f aca="false">IF('Raw Summary'!U2,'Raw Summary'!T2,"")</f>
        <v>1</v>
      </c>
      <c r="J3" s="11" t="n">
        <f aca="false">IF('Raw Summary'!W2,'Raw Summary'!V2,"")</f>
        <v>1</v>
      </c>
      <c r="K3" s="11" t="n">
        <f aca="false">IF('Raw Summary'!Y2,'Raw Summary'!X2,"")</f>
        <v>1</v>
      </c>
      <c r="L3" s="11" t="n">
        <f aca="false">IF('Raw Summary'!Z2,MAX('Rubric Settings'!E13-'Raw Summary'!L2,0),"")</f>
        <v>0</v>
      </c>
      <c r="M3" s="11" t="n">
        <f aca="false">IF('Raw Summary'!AB2,'Raw Summary'!AA2,"")</f>
        <v>1</v>
      </c>
      <c r="N3" s="11" t="n">
        <f aca="false">IF('Raw Summary'!AD2,'Raw Summary'!AC2,"")</f>
        <v>3</v>
      </c>
      <c r="O3" s="11" t="n">
        <f aca="false">IF('Raw Summary'!AF2,'Raw Summary'!AE2,"")</f>
        <v>2</v>
      </c>
      <c r="P3" s="11" t="n">
        <f aca="false">IF('Raw Summary'!AH2,'Raw Summary'!AG2,"")</f>
        <v>2</v>
      </c>
      <c r="Q3" s="11" t="n">
        <f aca="false">IF(AND('Rubric Settings'!C7,'Rubric Settings'!D7,ISNUMBER(F3)),MIN(MAX(F3-MAX('Rubric Settings'!G7,0*'Rubric Settings'!F7),0)*'Rubric Settings'!H7,IF('Rubric Settings'!I7="",1E+099,'Rubric Settings'!I7)),0)+IF(AND('Rubric Settings'!C8,'Rubric Settings'!D8,ISNUMBER(G3)),MIN(MAX(G3-MAX('Rubric Settings'!G8,'Raw Summary'!G2*'Rubric Settings'!F8),0)*'Rubric Settings'!H8,IF('Rubric Settings'!I8="",1E+099,'Rubric Settings'!I8)),0)+IF(AND('Rubric Settings'!C9,'Rubric Settings'!D9,ISNUMBER(H3)),MIN(MAX(H3-MAX('Rubric Settings'!G9,'Raw Summary'!G2*'Rubric Settings'!F9),0)*'Rubric Settings'!H9,IF('Rubric Settings'!I9="",1E+099,'Rubric Settings'!I9)),0)+IF(AND('Rubric Settings'!C10,'Rubric Settings'!D10,ISNUMBER(I3)),MIN(MAX(I3-MAX('Rubric Settings'!G10,'Raw Summary'!G2*'Rubric Settings'!F10),0)*'Rubric Settings'!H10,IF('Rubric Settings'!I10="",1E+099,'Rubric Settings'!I10)),0)+IF(AND('Rubric Settings'!C11,'Rubric Settings'!D11,ISNUMBER(J3)),MIN(MAX(J3-MAX('Rubric Settings'!G11,'Raw Summary'!I2*'Rubric Settings'!F11),0)*'Rubric Settings'!H11,IF('Rubric Settings'!I11="",1E+099,'Rubric Settings'!I11)),0)+IF(AND('Rubric Settings'!C12,'Rubric Settings'!D12,ISNUMBER(K3)),MIN(MAX(K3-MAX('Rubric Settings'!G12,'Raw Summary'!I2*'Rubric Settings'!F12),0)*'Rubric Settings'!H12,IF('Rubric Settings'!I12="",1E+099,'Rubric Settings'!I12)),0)+IF(AND('Rubric Settings'!C13,'Rubric Settings'!D13,ISNUMBER(L3)),MIN(MAX(L3-MAX('Rubric Settings'!G13,0*'Rubric Settings'!F13),0)*'Rubric Settings'!H13,IF('Rubric Settings'!I13="",1E+099,'Rubric Settings'!I13)),0)+IF(AND('Rubric Settings'!C14,'Rubric Settings'!D14,ISNUMBER(M3)),MIN(MAX(M3-MAX('Rubric Settings'!G14,'Raw Summary'!J2*'Rubric Settings'!F14),0)*'Rubric Settings'!H14,IF('Rubric Settings'!I14="",1E+099,'Rubric Settings'!I14)),0)+IF(AND('Rubric Settings'!C15,'Rubric Settings'!D15,ISNUMBER(N3)),MIN(MAX(N3-MAX('Rubric Settings'!G15,'Raw Summary'!I2*'Rubric Settings'!F15),0)*'Rubric Settings'!H15,IF('Rubric Settings'!I15="",1E+099,'Rubric Settings'!I15)),0)+IF(AND('Rubric Settings'!C16,'Rubric Settings'!D16,ISNUMBER(O3)),MIN(MAX(O3-MAX('Rubric Settings'!G16,'Raw Summary'!L2*'Rubric Settings'!F16),0)*'Rubric Settings'!H16,IF('Rubric Settings'!I16="",1E+099,'Rubric Settings'!I16)),0)+IF(AND('Rubric Settings'!C17,'Rubric Settings'!D17,ISNUMBER(P3)),MIN(MAX(P3-MAX('Rubric Settings'!G17,'Raw Summary'!L2*'Rubric Settings'!F17),0)*'Rubric Settings'!H17,IF('Rubric Settings'!I17="",1E+099,'Rubric Settings'!I17)),0)</f>
        <v>5.775</v>
      </c>
      <c r="R3" s="11" t="n">
        <f aca="false">MIN(Q3,'Rubric Settings'!$B$3*'Rubric Settings'!$D$3)</f>
        <v>3</v>
      </c>
      <c r="S3" s="25" t="n">
        <f aca="false">MAX('Rubric Settings'!$B$3-R3,0)</f>
        <v>3</v>
      </c>
    </row>
  </sheetData>
  <autoFilter ref="A2:S2"/>
  <mergeCells count="1">
    <mergeCell ref="A1:S1"/>
  </mergeCells>
  <conditionalFormatting sqref="E3">
    <cfRule type="containsText" priority="2" operator="containsText" aboveAverage="0" equalAverage="0" bottom="0" percent="0" rank="0" text="" dxfId="2">
      <formula>NOT(ISERROR(SEARCH("",E3)))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2026-10-23T10:11:59Z</dcterms:created>
  <dc:creator>GitMarker</dc:creator>
  <dc:description/>
  <cp:lastModifiedBy>Unknown</cp:lastModifiedBy>
  <dcterms:modified xsi:type="dcterms:W3CDTF">2026-10-23T10:12:19Z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